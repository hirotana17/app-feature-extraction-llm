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/>
  <xr:revisionPtr revIDLastSave="4457" documentId="11_0B1D56BE9CDCCE836B02CE7A5FB0D4A9BBFD1C62" xr6:coauthVersionLast="47" xr6:coauthVersionMax="47" xr10:uidLastSave="{F8834F75-069A-4AEB-9F3B-D6E9B7797487}"/>
  <bookViews>
    <workbookView xWindow="240" yWindow="105" windowWidth="14805" windowHeight="8010" xr2:uid="{00000000-000D-0000-FFFF-FFFF00000000}"/>
  </bookViews>
  <sheets>
    <sheet name="results (in-domain)" sheetId="2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" i="22" l="1"/>
  <c r="M65" i="22"/>
  <c r="M64" i="22"/>
  <c r="M72" i="22"/>
  <c r="M71" i="22"/>
  <c r="M70" i="22"/>
  <c r="M69" i="22"/>
  <c r="M68" i="22"/>
  <c r="M67" i="22"/>
  <c r="M63" i="22"/>
  <c r="M62" i="22"/>
  <c r="M61" i="22"/>
  <c r="M60" i="22"/>
  <c r="M59" i="22"/>
  <c r="M58" i="22"/>
  <c r="M21" i="22"/>
  <c r="M20" i="22"/>
  <c r="M19" i="22"/>
  <c r="M18" i="22"/>
  <c r="M17" i="22"/>
  <c r="M16" i="22"/>
  <c r="M33" i="22"/>
  <c r="M32" i="22"/>
  <c r="M31" i="22"/>
  <c r="M30" i="22"/>
  <c r="M29" i="22"/>
  <c r="M28" i="22"/>
  <c r="M27" i="22"/>
  <c r="M26" i="22"/>
  <c r="M25" i="22"/>
  <c r="M24" i="22"/>
  <c r="M23" i="22"/>
  <c r="M22" i="22"/>
  <c r="M57" i="22"/>
  <c r="M56" i="22"/>
  <c r="M55" i="22"/>
  <c r="M54" i="22"/>
  <c r="M53" i="22"/>
  <c r="M52" i="22"/>
  <c r="M51" i="22"/>
  <c r="M50" i="22"/>
  <c r="M49" i="22"/>
  <c r="M48" i="22"/>
  <c r="M47" i="22"/>
  <c r="M46" i="22"/>
  <c r="M45" i="22"/>
  <c r="M44" i="22"/>
  <c r="M43" i="22"/>
  <c r="M42" i="22"/>
  <c r="M41" i="22"/>
  <c r="M40" i="22"/>
  <c r="M39" i="22"/>
  <c r="M38" i="22"/>
  <c r="M37" i="22"/>
  <c r="M36" i="22"/>
  <c r="M35" i="22"/>
  <c r="M34" i="22"/>
  <c r="M15" i="22"/>
  <c r="M14" i="22"/>
  <c r="M13" i="22"/>
  <c r="M12" i="22"/>
  <c r="M11" i="22"/>
  <c r="M10" i="22"/>
  <c r="M9" i="22"/>
  <c r="M8" i="22"/>
  <c r="M7" i="22"/>
  <c r="M6" i="22"/>
  <c r="M5" i="22"/>
  <c r="M4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BB0ED9-45B2-4BBB-808E-6624B24CA522}" keepAlive="1" name="Query - evaluation_metrics_bin0_bin9 2" description="Connection to the 'evaluation_metrics_bin0_bin9 2' query in the workbook." type="5" refreshedVersion="8" background="1">
    <dbPr connection="Provider=Microsoft.Mashup.OleDb.1;Data Source=$Workbook$;Location=evaluation_metrics_bin0_bin9 2;Extended Properties=&quot;&quot;" command="SELECT * FROM [evaluation_metrics_bin0_bin9 2]"/>
  </connection>
  <connection id="2" xr16:uid="{68115EBD-3611-4E14-AA98-945B728B57F9}" keepAlive="1" name="Query - evaluation_metrics_bin0_bin9_latest" description="Connection to the 'evaluation_metrics_bin0_bin9_latest' query in the workbook." type="5" refreshedVersion="8" background="1">
    <dbPr connection="Provider=Microsoft.Mashup.OleDb.1;Data Source=$Workbook$;Location=evaluation_metrics_bin0_bin9_latest;Extended Properties=&quot;&quot;" command="SELECT * FROM [evaluation_metrics_bin0_bin9_latest]"/>
  </connection>
  <connection id="3" xr16:uid="{6D10F1D9-FA5C-44D4-9413-3B97BB2BCC86}" keepAlive="1" name="Query - evaluation_metrics_bin0_bin9_latest 1" description="Connection to the 'evaluation_metrics_bin0_bin9_latest 1' query in the workbook." type="5" refreshedVersion="8" background="1">
    <dbPr connection="Provider=Microsoft.Mashup.OleDb.1;Data Source=$Workbook$;Location=evaluation_metrics_bin0_bin9_latest 1;Extended Properties=&quot;&quot;" command="SELECT * FROM [evaluation_metrics_bin0_bin9_latest 1]"/>
  </connection>
</connections>
</file>

<file path=xl/sharedStrings.xml><?xml version="1.0" encoding="utf-8"?>
<sst xmlns="http://schemas.openxmlformats.org/spreadsheetml/2006/main" count="107" uniqueCount="42">
  <si>
    <t>Group</t>
  </si>
  <si>
    <t>bin0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</si>
  <si>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</si>
  <si>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</si>
  <si>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</si>
  <si>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</si>
  <si>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</si>
  <si>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</si>
  <si>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</si>
  <si>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</si>
  <si>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</si>
  <si>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average</t>
  </si>
  <si>
    <t>Dataset</t>
  </si>
  <si>
    <t>Total reviews for training</t>
  </si>
  <si>
    <t>Total reviews for test</t>
  </si>
  <si>
    <t>BERT-base</t>
  </si>
  <si>
    <t>precision</t>
  </si>
  <si>
    <t>recall</t>
  </si>
  <si>
    <t>F1</t>
  </si>
  <si>
    <t>XLNet-base</t>
  </si>
  <si>
    <t>gpt-4.1-mini (std)</t>
  </si>
  <si>
    <t>gpt-4.1-mini (ft)</t>
  </si>
  <si>
    <t>gpt-oss-20 (std)</t>
  </si>
  <si>
    <t>f1</t>
  </si>
  <si>
    <t>gpt-oss-20 (ft)</t>
  </si>
  <si>
    <t>llama-3-1-8b (std)</t>
  </si>
  <si>
    <t>llama-3-1-8b (ft)</t>
  </si>
  <si>
    <t>llama-3-1-70b (std)</t>
  </si>
  <si>
    <t>llama-3-1-70b (ft)</t>
  </si>
  <si>
    <t>qwen2-5-7b (std)</t>
  </si>
  <si>
    <t>qwen2-5-7b (ft)</t>
  </si>
  <si>
    <t>qwen2-5-32b (std)</t>
  </si>
  <si>
    <t>qwen2-5-32b (ft)</t>
  </si>
  <si>
    <t>gemma-3-4b (std)</t>
  </si>
  <si>
    <t>gemma-3-4b (ft)</t>
  </si>
  <si>
    <t>gemma-3-27b (std)</t>
  </si>
  <si>
    <t>gemma-3-27b (ft)</t>
  </si>
  <si>
    <t>Fine-tuned Feedback Sequence</t>
  </si>
  <si>
    <t>Standard-Feedback Sequence</t>
  </si>
  <si>
    <t>Domain-Prompt Parallel</t>
  </si>
  <si>
    <t>Fine-tuned Parallel</t>
  </si>
  <si>
    <t xml:space="preserve">Mixed-Model Parallel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</si>
</sst>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164" fontId="1" fillId="2" borderId="2" xfId="0" applyNumberFormat="1" applyFont="1" applyFill="1" applyBorder="1" applyAlignment="1">
      <alignment horizontal="right" wrapText="1"/>
    </xf>
    <xf numFmtId="164" fontId="2" fillId="2" borderId="2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164" fontId="1" fillId="2" borderId="0" xfId="0" applyNumberFormat="1" applyFont="1" applyFill="1" applyAlignment="1">
      <alignment horizontal="right" wrapText="1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/>
    <xf numFmtId="164" fontId="1" fillId="4" borderId="0" xfId="0" applyNumberFormat="1" applyFont="1" applyFill="1" applyAlignment="1">
      <alignment horizontal="right" wrapText="1"/>
    </xf>
    <xf numFmtId="164" fontId="2" fillId="4" borderId="0" xfId="0" applyNumberFormat="1" applyFont="1" applyFill="1" applyAlignment="1">
      <alignment horizontal="right"/>
    </xf>
    <xf numFmtId="164" fontId="1" fillId="4" borderId="2" xfId="0" applyNumberFormat="1" applyFont="1" applyFill="1" applyBorder="1" applyAlignment="1">
      <alignment horizontal="right" wrapText="1"/>
    </xf>
    <xf numFmtId="164" fontId="2" fillId="4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1" fillId="4" borderId="4" xfId="0" applyFont="1" applyFill="1" applyBorder="1" applyAlignment="1">
      <alignment horizontal="left" wrapText="1"/>
    </xf>
    <xf numFmtId="0" fontId="1" fillId="4" borderId="5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1" fillId="0" borderId="6" xfId="0" applyFont="1" applyBorder="1" applyAlignment="1">
      <alignment horizontal="left" wrapText="1"/>
    </xf>
    <xf numFmtId="164" fontId="1" fillId="0" borderId="6" xfId="0" applyNumberFormat="1" applyFont="1" applyBorder="1" applyAlignment="1">
      <alignment wrapText="1"/>
    </xf>
    <xf numFmtId="164" fontId="1" fillId="0" borderId="7" xfId="0" applyNumberFormat="1" applyFont="1" applyBorder="1" applyAlignment="1">
      <alignment wrapText="1"/>
    </xf>
    <xf numFmtId="164" fontId="1" fillId="2" borderId="8" xfId="0" applyNumberFormat="1" applyFont="1" applyFill="1" applyBorder="1" applyAlignment="1">
      <alignment wrapText="1"/>
    </xf>
    <xf numFmtId="0" fontId="1" fillId="0" borderId="7" xfId="0" applyFont="1" applyBorder="1" applyAlignment="1">
      <alignment horizontal="left" wrapText="1"/>
    </xf>
    <xf numFmtId="164" fontId="1" fillId="2" borderId="7" xfId="0" applyNumberFormat="1" applyFont="1" applyFill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  <xf numFmtId="0" fontId="1" fillId="0" borderId="0" xfId="0" applyFont="1" applyAlignment="1">
      <alignment horizontal="left" vertical="top" wrapText="1"/>
    </xf>
    <xf numFmtId="0" fontId="1" fillId="3" borderId="3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3C8D-48E4-4A9A-AA19-0B567ABB060A}">
  <dimension ref="A1:M79"/>
  <sheetViews>
    <sheetView tabSelected="1" workbookViewId="0">
      <pane ySplit="1" topLeftCell="A2" activePane="bottomLeft" state="frozen"/>
      <selection pane="bottomLeft" activeCell="M15" sqref="M15"/>
    </sheetView>
  </sheetViews>
  <sheetFormatPr defaultColWidth="9.140625" defaultRowHeight="15"/>
  <cols>
    <col min="1" max="1" width="28" style="5" customWidth="1"/>
    <col min="2" max="2" width="21.140625" style="5" customWidth="1"/>
    <col min="3" max="13" width="8.42578125" style="5" customWidth="1"/>
    <col min="14" max="16384" width="9.140625" style="1"/>
  </cols>
  <sheetData>
    <row r="1" spans="1:13" s="2" customFormat="1">
      <c r="A1" s="37"/>
      <c r="B1" s="38" t="s">
        <v>0</v>
      </c>
      <c r="C1" s="38" t="s">
        <v>1</v>
      </c>
      <c r="D1" s="38" t="s">
        <v>2</v>
      </c>
      <c r="E1" s="38" t="s">
        <v>3</v>
      </c>
      <c r="F1" s="38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9</v>
      </c>
      <c r="L1" s="38" t="s">
        <v>10</v>
      </c>
      <c r="M1" s="39" t="s">
        <v>11</v>
      </c>
    </row>
    <row r="2" spans="1:13" s="2" customFormat="1">
      <c r="A2" s="21" t="s">
        <v>12</v>
      </c>
      <c r="B2" s="20" t="s">
        <v>13</v>
      </c>
      <c r="C2" s="35">
        <v>5155</v>
      </c>
      <c r="D2" s="35">
        <v>5127</v>
      </c>
      <c r="E2" s="35">
        <v>5582</v>
      </c>
      <c r="F2" s="35">
        <v>5497</v>
      </c>
      <c r="G2" s="35">
        <v>5498</v>
      </c>
      <c r="H2" s="35">
        <v>5465</v>
      </c>
      <c r="I2" s="35">
        <v>5290</v>
      </c>
      <c r="J2" s="35">
        <v>5218</v>
      </c>
      <c r="K2" s="35">
        <v>5567</v>
      </c>
      <c r="L2" s="35">
        <v>5304</v>
      </c>
      <c r="M2" s="29"/>
    </row>
    <row r="3" spans="1:13" s="2" customFormat="1">
      <c r="A3" s="23"/>
      <c r="B3" s="3" t="s">
        <v>14</v>
      </c>
      <c r="C3" s="6">
        <v>812</v>
      </c>
      <c r="D3" s="6">
        <v>840</v>
      </c>
      <c r="E3" s="6">
        <v>385</v>
      </c>
      <c r="F3" s="6">
        <v>470</v>
      </c>
      <c r="G3" s="6">
        <v>469</v>
      </c>
      <c r="H3" s="6">
        <v>502</v>
      </c>
      <c r="I3" s="6">
        <v>677</v>
      </c>
      <c r="J3" s="6">
        <v>749</v>
      </c>
      <c r="K3" s="6">
        <v>400</v>
      </c>
      <c r="L3" s="6">
        <v>663</v>
      </c>
      <c r="M3" s="33"/>
    </row>
    <row r="4" spans="1:13" s="2" customFormat="1">
      <c r="A4" s="21" t="s">
        <v>15</v>
      </c>
      <c r="B4" s="20" t="s">
        <v>16</v>
      </c>
      <c r="C4" s="7">
        <v>0.43104100000000001</v>
      </c>
      <c r="D4" s="11">
        <v>0.46816999999999998</v>
      </c>
      <c r="E4" s="7">
        <v>0.59036299999999997</v>
      </c>
      <c r="F4" s="7">
        <v>0.58384100000000005</v>
      </c>
      <c r="G4" s="7">
        <v>0.77765200000000001</v>
      </c>
      <c r="H4" s="11">
        <v>0.25764500000000001</v>
      </c>
      <c r="I4" s="7">
        <v>0.86026499999999995</v>
      </c>
      <c r="J4" s="11">
        <v>0.83875299999999997</v>
      </c>
      <c r="K4" s="7">
        <v>0.65333300000000005</v>
      </c>
      <c r="L4" s="11">
        <v>0.28548600000000002</v>
      </c>
      <c r="M4" s="30">
        <f>AVERAGE(C4:L4)</f>
        <v>0.57465489999999986</v>
      </c>
    </row>
    <row r="5" spans="1:13" s="2" customFormat="1">
      <c r="A5" s="23"/>
      <c r="B5" s="3" t="s">
        <v>17</v>
      </c>
      <c r="C5" s="8">
        <v>0.36416700000000002</v>
      </c>
      <c r="D5" s="12">
        <v>0.2777</v>
      </c>
      <c r="E5" s="8">
        <v>0.41434900000000002</v>
      </c>
      <c r="F5" s="8">
        <v>0.48601499999999997</v>
      </c>
      <c r="G5" s="8">
        <v>0.46996399999999999</v>
      </c>
      <c r="H5" s="12">
        <v>0.22369800000000001</v>
      </c>
      <c r="I5" s="8">
        <v>0.57586800000000005</v>
      </c>
      <c r="J5" s="12">
        <v>0.77490000000000003</v>
      </c>
      <c r="K5" s="8">
        <v>0.356628</v>
      </c>
      <c r="L5" s="12">
        <v>0.25090899999999999</v>
      </c>
      <c r="M5" s="31">
        <f>AVERAGE(C5:L5)</f>
        <v>0.41941980000000012</v>
      </c>
    </row>
    <row r="6" spans="1:13" s="2" customFormat="1">
      <c r="A6" s="24"/>
      <c r="B6" s="28" t="s">
        <v>18</v>
      </c>
      <c r="C6" s="13">
        <v>0.390102</v>
      </c>
      <c r="D6" s="14">
        <v>0.36363800000000002</v>
      </c>
      <c r="E6" s="13">
        <v>0.49574099999999999</v>
      </c>
      <c r="F6" s="13">
        <v>0.53222800000000003</v>
      </c>
      <c r="G6" s="13">
        <v>0.59584400000000004</v>
      </c>
      <c r="H6" s="14">
        <v>0.231327</v>
      </c>
      <c r="I6" s="13">
        <v>0.70244799999999996</v>
      </c>
      <c r="J6" s="14">
        <v>0.80429300000000004</v>
      </c>
      <c r="K6" s="13">
        <v>0.48274</v>
      </c>
      <c r="L6" s="14">
        <v>0.25463799999999998</v>
      </c>
      <c r="M6" s="34">
        <f>AVERAGE(C6:L6)</f>
        <v>0.48529989999999995</v>
      </c>
    </row>
    <row r="7" spans="1:13" s="2" customFormat="1">
      <c r="A7" s="21" t="s">
        <v>19</v>
      </c>
      <c r="B7" s="20" t="s">
        <v>16</v>
      </c>
      <c r="C7" s="7">
        <v>0.71911000000000003</v>
      </c>
      <c r="D7" s="7">
        <v>0.55436200000000002</v>
      </c>
      <c r="E7" s="7">
        <v>0.69675500000000001</v>
      </c>
      <c r="F7" s="7">
        <v>0.63061599999999995</v>
      </c>
      <c r="G7" s="7">
        <v>0.68648500000000001</v>
      </c>
      <c r="H7" s="7">
        <v>0.42049999999999998</v>
      </c>
      <c r="I7" s="7">
        <v>0.76175099999999996</v>
      </c>
      <c r="J7" s="7">
        <v>0.71367899999999995</v>
      </c>
      <c r="K7" s="7">
        <v>0.50270000000000004</v>
      </c>
      <c r="L7" s="7">
        <v>0.623525</v>
      </c>
      <c r="M7" s="30">
        <f t="shared" ref="M7:M8" si="0">AVERAGE(C7:L7)</f>
        <v>0.63094829999999991</v>
      </c>
    </row>
    <row r="8" spans="1:13" s="2" customFormat="1">
      <c r="A8" s="23"/>
      <c r="B8" s="3" t="s">
        <v>17</v>
      </c>
      <c r="C8" s="8">
        <v>0.51126199999999999</v>
      </c>
      <c r="D8" s="8">
        <v>0.41406799999999999</v>
      </c>
      <c r="E8" s="8">
        <v>0.61818499999999998</v>
      </c>
      <c r="F8" s="8">
        <v>0.78671000000000002</v>
      </c>
      <c r="G8" s="8">
        <v>0.66104600000000002</v>
      </c>
      <c r="H8" s="8">
        <v>0.65587700000000004</v>
      </c>
      <c r="I8" s="8">
        <v>0.42158200000000001</v>
      </c>
      <c r="J8" s="8">
        <v>0.87301200000000001</v>
      </c>
      <c r="K8" s="8">
        <v>0.54513400000000001</v>
      </c>
      <c r="L8" s="8">
        <v>0.23576900000000001</v>
      </c>
      <c r="M8" s="31">
        <f t="shared" si="0"/>
        <v>0.57226450000000006</v>
      </c>
    </row>
    <row r="9" spans="1:13" s="2" customFormat="1">
      <c r="A9" s="24"/>
      <c r="B9" s="28" t="s">
        <v>18</v>
      </c>
      <c r="C9" s="13">
        <v>0.61422299999999996</v>
      </c>
      <c r="D9" s="14">
        <v>0.40097100000000002</v>
      </c>
      <c r="E9" s="13">
        <v>0.63788299999999998</v>
      </c>
      <c r="F9" s="13">
        <v>0.852634</v>
      </c>
      <c r="G9" s="13">
        <v>0.72655899999999995</v>
      </c>
      <c r="H9" s="14">
        <v>0.38964799999999999</v>
      </c>
      <c r="I9" s="13">
        <v>0.46837800000000002</v>
      </c>
      <c r="J9" s="14">
        <v>0.90232699999999999</v>
      </c>
      <c r="K9" s="13">
        <v>0.64930699999999997</v>
      </c>
      <c r="L9" s="14">
        <v>0.36212</v>
      </c>
      <c r="M9" s="34">
        <f>AVERAGE(C9:L9)</f>
        <v>0.60040500000000008</v>
      </c>
    </row>
    <row r="10" spans="1:13" s="2" customFormat="1">
      <c r="A10" s="21" t="s">
        <v>20</v>
      </c>
      <c r="B10" s="20" t="s">
        <v>16</v>
      </c>
      <c r="C10" s="7">
        <v>0.36080000000000001</v>
      </c>
      <c r="D10" s="11">
        <v>0.33079999999999998</v>
      </c>
      <c r="E10" s="7">
        <v>0.30230000000000001</v>
      </c>
      <c r="F10" s="7">
        <v>0.34139999999999998</v>
      </c>
      <c r="G10" s="7">
        <v>0.20130000000000001</v>
      </c>
      <c r="H10" s="11">
        <v>0.40770000000000001</v>
      </c>
      <c r="I10" s="7">
        <v>0.28910000000000002</v>
      </c>
      <c r="J10" s="11">
        <v>0.23499999999999999</v>
      </c>
      <c r="K10" s="7">
        <v>0.43140000000000001</v>
      </c>
      <c r="L10" s="11">
        <v>0.37309999999999999</v>
      </c>
      <c r="M10" s="30">
        <f t="shared" ref="M10:M12" si="1">AVERAGE(C10:L10)</f>
        <v>0.32728999999999997</v>
      </c>
    </row>
    <row r="11" spans="1:13" s="2" customFormat="1">
      <c r="A11" s="23"/>
      <c r="B11" s="3" t="s">
        <v>17</v>
      </c>
      <c r="C11" s="8">
        <v>0.44379999999999997</v>
      </c>
      <c r="D11" s="12">
        <v>0.36820000000000003</v>
      </c>
      <c r="E11" s="8">
        <v>0.30230000000000001</v>
      </c>
      <c r="F11" s="8">
        <v>0.47770000000000001</v>
      </c>
      <c r="G11" s="8">
        <v>0.19400000000000001</v>
      </c>
      <c r="H11" s="12">
        <v>0.52680000000000005</v>
      </c>
      <c r="I11" s="8">
        <v>0.30869999999999997</v>
      </c>
      <c r="J11" s="12">
        <v>0.25</v>
      </c>
      <c r="K11" s="8">
        <v>0.65510000000000002</v>
      </c>
      <c r="L11" s="12">
        <v>0.53890000000000005</v>
      </c>
      <c r="M11" s="31">
        <f t="shared" si="1"/>
        <v>0.40655000000000002</v>
      </c>
    </row>
    <row r="12" spans="1:13" s="2" customFormat="1">
      <c r="A12" s="25"/>
      <c r="B12" s="22" t="s">
        <v>18</v>
      </c>
      <c r="C12" s="9">
        <v>0.39800000000000002</v>
      </c>
      <c r="D12" s="10">
        <v>0.34849999999999998</v>
      </c>
      <c r="E12" s="9">
        <v>0.3</v>
      </c>
      <c r="F12" s="9">
        <v>0.3982</v>
      </c>
      <c r="G12" s="9">
        <v>0.1976</v>
      </c>
      <c r="H12" s="10">
        <v>0.4597</v>
      </c>
      <c r="I12" s="9">
        <v>0.29859999999999998</v>
      </c>
      <c r="J12" s="10">
        <v>0.24229999999999999</v>
      </c>
      <c r="K12" s="9">
        <v>0.5202</v>
      </c>
      <c r="L12" s="10">
        <v>0.44090000000000001</v>
      </c>
      <c r="M12" s="32">
        <f>AVERAGE(C12:L12)</f>
        <v>0.36040000000000005</v>
      </c>
    </row>
    <row r="13" spans="1:13" s="2" customFormat="1">
      <c r="A13" s="23" t="s">
        <v>21</v>
      </c>
      <c r="B13" s="3" t="s">
        <v>16</v>
      </c>
      <c r="C13" s="8">
        <v>0.72560000000000002</v>
      </c>
      <c r="D13" s="12">
        <v>0.7399</v>
      </c>
      <c r="E13" s="8">
        <v>0.68559999999999999</v>
      </c>
      <c r="F13" s="8">
        <v>0.71250000000000002</v>
      </c>
      <c r="G13" s="8">
        <v>0.69720000000000004</v>
      </c>
      <c r="H13" s="12">
        <v>0.72309999999999997</v>
      </c>
      <c r="I13" s="8">
        <v>0.67649999999999999</v>
      </c>
      <c r="J13" s="12">
        <v>0.67110000000000003</v>
      </c>
      <c r="K13" s="8">
        <v>0.86860000000000004</v>
      </c>
      <c r="L13" s="12">
        <v>0.81259999999999999</v>
      </c>
      <c r="M13" s="31">
        <f t="shared" ref="M13:M15" si="2">AVERAGE(C13:L13)</f>
        <v>0.73126999999999998</v>
      </c>
    </row>
    <row r="14" spans="1:13" s="2" customFormat="1">
      <c r="A14" s="23"/>
      <c r="B14" s="3" t="s">
        <v>17</v>
      </c>
      <c r="C14" s="8">
        <v>0.72740000000000005</v>
      </c>
      <c r="D14" s="12">
        <v>0.7399</v>
      </c>
      <c r="E14" s="8">
        <v>0.67679999999999996</v>
      </c>
      <c r="F14" s="8">
        <v>0.71550000000000002</v>
      </c>
      <c r="G14" s="8">
        <v>0.69720000000000004</v>
      </c>
      <c r="H14" s="12">
        <v>0.72170000000000001</v>
      </c>
      <c r="I14" s="8">
        <v>0.67949999999999999</v>
      </c>
      <c r="J14" s="12">
        <v>0.66759999999999997</v>
      </c>
      <c r="K14" s="8">
        <v>0.80400000000000005</v>
      </c>
      <c r="L14" s="12">
        <v>0.81140000000000001</v>
      </c>
      <c r="M14" s="31">
        <f t="shared" si="2"/>
        <v>0.72410000000000008</v>
      </c>
    </row>
    <row r="15" spans="1:13" s="2" customFormat="1">
      <c r="A15" s="24"/>
      <c r="B15" s="28" t="s">
        <v>18</v>
      </c>
      <c r="C15" s="13">
        <v>0.72650000000000003</v>
      </c>
      <c r="D15" s="14">
        <v>0.7399</v>
      </c>
      <c r="E15" s="13">
        <v>0.68120000000000003</v>
      </c>
      <c r="F15" s="13">
        <v>0.71399999999999997</v>
      </c>
      <c r="G15" s="13">
        <v>0.69720000000000004</v>
      </c>
      <c r="H15" s="14">
        <v>0.72240000000000004</v>
      </c>
      <c r="I15" s="13">
        <v>0.67800000000000005</v>
      </c>
      <c r="J15" s="14">
        <v>0.66930000000000001</v>
      </c>
      <c r="K15" s="13">
        <v>0.83509999999999995</v>
      </c>
      <c r="L15" s="14">
        <v>0.81200000000000006</v>
      </c>
      <c r="M15" s="34">
        <f>AVERAGE(C15:L15)</f>
        <v>0.72755999999999998</v>
      </c>
    </row>
    <row r="16" spans="1:13" s="2" customFormat="1">
      <c r="A16" s="21" t="s">
        <v>22</v>
      </c>
      <c r="B16" s="20" t="s">
        <v>16</v>
      </c>
      <c r="C16" s="7">
        <v>0.5</v>
      </c>
      <c r="D16" s="11">
        <v>0.65</v>
      </c>
      <c r="E16" s="7">
        <v>0.66669999999999996</v>
      </c>
      <c r="F16" s="7">
        <v>0.47370000000000001</v>
      </c>
      <c r="G16" s="7">
        <v>0.375</v>
      </c>
      <c r="H16" s="11">
        <v>0.78790000000000004</v>
      </c>
      <c r="I16" s="7">
        <v>0.55000000000000004</v>
      </c>
      <c r="J16" s="11">
        <v>0.5333</v>
      </c>
      <c r="K16" s="7">
        <v>0.55559999999999998</v>
      </c>
      <c r="L16" s="11">
        <v>0.63160000000000005</v>
      </c>
      <c r="M16" s="30">
        <f t="shared" ref="M16:M18" si="3">AVERAGE(C16:L16)</f>
        <v>0.57238</v>
      </c>
    </row>
    <row r="17" spans="1:13" s="2" customFormat="1">
      <c r="A17" s="23"/>
      <c r="B17" s="3" t="s">
        <v>17</v>
      </c>
      <c r="C17" s="8">
        <v>1.34E-2</v>
      </c>
      <c r="D17" s="12">
        <v>4.6300000000000001E-2</v>
      </c>
      <c r="E17" s="8">
        <v>2.5399999999999999E-2</v>
      </c>
      <c r="F17" s="8">
        <v>1.9099999999999999E-2</v>
      </c>
      <c r="G17" s="8">
        <v>6.4000000000000003E-3</v>
      </c>
      <c r="H17" s="12">
        <v>5.1700000000000003E-2</v>
      </c>
      <c r="I17" s="8">
        <v>1.6199999999999999E-2</v>
      </c>
      <c r="J17" s="12">
        <v>1.06E-2</v>
      </c>
      <c r="K17" s="8">
        <v>2.4799999999999999E-2</v>
      </c>
      <c r="L17" s="12">
        <v>3.5900000000000001E-2</v>
      </c>
      <c r="M17" s="31">
        <f t="shared" si="3"/>
        <v>2.4980000000000002E-2</v>
      </c>
    </row>
    <row r="18" spans="1:13" s="2" customFormat="1">
      <c r="A18" s="24"/>
      <c r="B18" s="28" t="s">
        <v>23</v>
      </c>
      <c r="C18" s="13">
        <v>2.6200000000000001E-2</v>
      </c>
      <c r="D18" s="14">
        <v>8.6499999999999994E-2</v>
      </c>
      <c r="E18" s="13">
        <v>4.9000000000000002E-2</v>
      </c>
      <c r="F18" s="13">
        <v>3.6700000000000003E-2</v>
      </c>
      <c r="G18" s="13">
        <v>1.26E-2</v>
      </c>
      <c r="H18" s="14">
        <v>9.7000000000000003E-2</v>
      </c>
      <c r="I18" s="13">
        <v>3.1600000000000003E-2</v>
      </c>
      <c r="J18" s="14">
        <v>2.0899999999999998E-2</v>
      </c>
      <c r="K18" s="13">
        <v>4.7500000000000001E-2</v>
      </c>
      <c r="L18" s="14">
        <v>6.8000000000000005E-2</v>
      </c>
      <c r="M18" s="34">
        <f>AVERAGE(C18:L18)</f>
        <v>4.7600000000000003E-2</v>
      </c>
    </row>
    <row r="19" spans="1:13" s="2" customFormat="1">
      <c r="A19" s="21" t="s">
        <v>24</v>
      </c>
      <c r="B19" s="20" t="s">
        <v>16</v>
      </c>
      <c r="C19" s="7">
        <v>0.58130000000000004</v>
      </c>
      <c r="D19" s="11">
        <v>0.625</v>
      </c>
      <c r="E19" s="7">
        <v>0.57140000000000002</v>
      </c>
      <c r="F19" s="7">
        <v>0.62290000000000001</v>
      </c>
      <c r="G19" s="7">
        <v>0.55110000000000003</v>
      </c>
      <c r="H19" s="11">
        <v>0.67530000000000001</v>
      </c>
      <c r="I19" s="7">
        <v>0.54720000000000002</v>
      </c>
      <c r="J19" s="11">
        <v>0.59009999999999996</v>
      </c>
      <c r="K19" s="7">
        <v>0.67749999999999999</v>
      </c>
      <c r="L19" s="11">
        <v>0.64249999999999996</v>
      </c>
      <c r="M19" s="30">
        <f t="shared" ref="M19:M21" si="4">AVERAGE(C19:L19)</f>
        <v>0.60843000000000003</v>
      </c>
    </row>
    <row r="20" spans="1:13" s="2" customFormat="1">
      <c r="A20" s="23"/>
      <c r="B20" s="3" t="s">
        <v>17</v>
      </c>
      <c r="C20" s="8">
        <v>0.57699999999999996</v>
      </c>
      <c r="D20" s="12">
        <v>0.62350000000000005</v>
      </c>
      <c r="E20" s="8">
        <v>0.55979999999999996</v>
      </c>
      <c r="F20" s="8">
        <v>0.62419999999999998</v>
      </c>
      <c r="G20" s="8">
        <v>0.55220000000000002</v>
      </c>
      <c r="H20" s="12">
        <v>0.67400000000000004</v>
      </c>
      <c r="I20" s="8">
        <v>0.54800000000000004</v>
      </c>
      <c r="J20" s="12">
        <v>0.58779999999999999</v>
      </c>
      <c r="K20" s="8">
        <v>0.67249999999999999</v>
      </c>
      <c r="L20" s="12">
        <v>0.63770000000000004</v>
      </c>
      <c r="M20" s="31">
        <f t="shared" si="4"/>
        <v>0.60566999999999993</v>
      </c>
    </row>
    <row r="21" spans="1:13" s="2" customFormat="1">
      <c r="A21" s="24"/>
      <c r="B21" s="28" t="s">
        <v>23</v>
      </c>
      <c r="C21" s="13">
        <v>0.57909999999999995</v>
      </c>
      <c r="D21" s="14">
        <v>0.62429999999999997</v>
      </c>
      <c r="E21" s="13">
        <v>0.56559999999999999</v>
      </c>
      <c r="F21" s="13">
        <v>0.62350000000000005</v>
      </c>
      <c r="G21" s="13">
        <v>0.55169999999999997</v>
      </c>
      <c r="H21" s="14">
        <v>0.67459999999999998</v>
      </c>
      <c r="I21" s="13">
        <v>0.54759999999999998</v>
      </c>
      <c r="J21" s="14">
        <v>0.58889999999999998</v>
      </c>
      <c r="K21" s="13">
        <v>0.67500000000000004</v>
      </c>
      <c r="L21" s="14">
        <v>0.6401</v>
      </c>
      <c r="M21" s="34">
        <f>AVERAGE(C21:L21)</f>
        <v>0.60703999999999991</v>
      </c>
    </row>
    <row r="22" spans="1:13" s="2" customFormat="1">
      <c r="A22" s="21" t="s">
        <v>25</v>
      </c>
      <c r="B22" s="20" t="s">
        <v>16</v>
      </c>
      <c r="C22" s="7">
        <v>0.29020000000000001</v>
      </c>
      <c r="D22" s="11">
        <v>0.20979999999999999</v>
      </c>
      <c r="E22" s="7">
        <v>0.15459999999999999</v>
      </c>
      <c r="F22" s="7">
        <v>0.26100000000000001</v>
      </c>
      <c r="G22" s="7">
        <v>0.1241</v>
      </c>
      <c r="H22" s="11">
        <v>0.27779999999999999</v>
      </c>
      <c r="I22" s="7">
        <v>0.24049999999999999</v>
      </c>
      <c r="J22" s="11">
        <v>0.19270000000000001</v>
      </c>
      <c r="K22" s="7">
        <v>0.36180000000000001</v>
      </c>
      <c r="L22" s="11">
        <v>0.3165</v>
      </c>
      <c r="M22" s="30">
        <f t="shared" ref="M22:M24" si="5">AVERAGE(C22:L22)</f>
        <v>0.24290000000000003</v>
      </c>
    </row>
    <row r="23" spans="1:13" s="2" customFormat="1">
      <c r="A23" s="23"/>
      <c r="B23" s="3" t="s">
        <v>17</v>
      </c>
      <c r="C23" s="8">
        <v>0.2359</v>
      </c>
      <c r="D23" s="12">
        <v>0.12230000000000001</v>
      </c>
      <c r="E23" s="8">
        <v>7.6300000000000007E-2</v>
      </c>
      <c r="F23" s="8">
        <v>0.2399</v>
      </c>
      <c r="G23" s="8">
        <v>7.6799999999999993E-2</v>
      </c>
      <c r="H23" s="12">
        <v>0.1789</v>
      </c>
      <c r="I23" s="8">
        <v>0.18609999999999999</v>
      </c>
      <c r="J23" s="12">
        <v>0.11169999999999999</v>
      </c>
      <c r="K23" s="8">
        <v>0.40939999999999999</v>
      </c>
      <c r="L23" s="12">
        <v>0.32779999999999998</v>
      </c>
      <c r="M23" s="31">
        <f t="shared" si="5"/>
        <v>0.19650999999999996</v>
      </c>
    </row>
    <row r="24" spans="1:13" s="2" customFormat="1">
      <c r="A24" s="24"/>
      <c r="B24" s="28" t="s">
        <v>23</v>
      </c>
      <c r="C24" s="13">
        <v>0.26029999999999998</v>
      </c>
      <c r="D24" s="14">
        <v>0.1545</v>
      </c>
      <c r="E24" s="13">
        <v>0.1022</v>
      </c>
      <c r="F24" s="13">
        <v>0.25</v>
      </c>
      <c r="G24" s="13">
        <v>9.4899999999999998E-2</v>
      </c>
      <c r="H24" s="14">
        <v>0.2177</v>
      </c>
      <c r="I24" s="13">
        <v>0.20979999999999999</v>
      </c>
      <c r="J24" s="14">
        <v>0.1414</v>
      </c>
      <c r="K24" s="13">
        <v>0.38419999999999999</v>
      </c>
      <c r="L24" s="14">
        <v>0.3221</v>
      </c>
      <c r="M24" s="34">
        <f>AVERAGE(C24:L24)</f>
        <v>0.21370999999999998</v>
      </c>
    </row>
    <row r="25" spans="1:13" s="2" customFormat="1">
      <c r="A25" s="21" t="s">
        <v>26</v>
      </c>
      <c r="B25" s="20" t="s">
        <v>16</v>
      </c>
      <c r="C25" s="7">
        <v>0.49009999999999998</v>
      </c>
      <c r="D25" s="11">
        <v>0.62739999999999996</v>
      </c>
      <c r="E25" s="7">
        <v>0.47010000000000002</v>
      </c>
      <c r="F25" s="7">
        <v>0.68289999999999995</v>
      </c>
      <c r="G25" s="7">
        <v>0.70430000000000004</v>
      </c>
      <c r="H25" s="11">
        <v>0.34329999999999999</v>
      </c>
      <c r="I25" s="7">
        <v>0.5383</v>
      </c>
      <c r="J25" s="11">
        <v>0.51659999999999995</v>
      </c>
      <c r="K25" s="7">
        <v>0.58850000000000002</v>
      </c>
      <c r="L25" s="11">
        <v>0.65710000000000002</v>
      </c>
      <c r="M25" s="30">
        <f t="shared" ref="M25:M27" si="6">AVERAGE(C25:L25)</f>
        <v>0.56185999999999992</v>
      </c>
    </row>
    <row r="26" spans="1:13" s="2" customFormat="1">
      <c r="A26" s="23"/>
      <c r="B26" s="3" t="s">
        <v>17</v>
      </c>
      <c r="C26" s="8">
        <v>0.48659999999999998</v>
      </c>
      <c r="D26" s="12">
        <v>0.62590000000000001</v>
      </c>
      <c r="E26" s="8">
        <v>0.46060000000000001</v>
      </c>
      <c r="F26" s="8">
        <v>0.68579999999999997</v>
      </c>
      <c r="G26" s="8">
        <v>0.70579999999999998</v>
      </c>
      <c r="H26" s="12">
        <v>0.34389999999999998</v>
      </c>
      <c r="I26" s="8">
        <v>0.53910000000000002</v>
      </c>
      <c r="J26" s="12">
        <v>0.51729999999999998</v>
      </c>
      <c r="K26" s="8">
        <v>0.58560000000000001</v>
      </c>
      <c r="L26" s="12">
        <v>0.6542</v>
      </c>
      <c r="M26" s="31">
        <f t="shared" si="6"/>
        <v>0.56048000000000009</v>
      </c>
    </row>
    <row r="27" spans="1:13" s="2" customFormat="1">
      <c r="A27" s="24"/>
      <c r="B27" s="28" t="s">
        <v>23</v>
      </c>
      <c r="C27" s="13">
        <v>0.48830000000000001</v>
      </c>
      <c r="D27" s="14">
        <v>0.62660000000000005</v>
      </c>
      <c r="E27" s="13">
        <v>0.46529999999999999</v>
      </c>
      <c r="F27" s="13">
        <v>0.68430000000000002</v>
      </c>
      <c r="G27" s="13">
        <v>0.70499999999999996</v>
      </c>
      <c r="H27" s="14">
        <v>0.34360000000000002</v>
      </c>
      <c r="I27" s="13">
        <v>0.53869999999999996</v>
      </c>
      <c r="J27" s="14">
        <v>0.51690000000000003</v>
      </c>
      <c r="K27" s="13">
        <v>0.58709999999999996</v>
      </c>
      <c r="L27" s="14">
        <v>0.65569999999999995</v>
      </c>
      <c r="M27" s="34">
        <f>AVERAGE(C27:L27)</f>
        <v>0.56114999999999993</v>
      </c>
    </row>
    <row r="28" spans="1:13" s="2" customFormat="1">
      <c r="A28" s="21" t="s">
        <v>27</v>
      </c>
      <c r="B28" s="20" t="s">
        <v>16</v>
      </c>
      <c r="C28" s="7">
        <v>0.40300000000000002</v>
      </c>
      <c r="D28" s="11">
        <v>0.38750000000000001</v>
      </c>
      <c r="E28" s="7">
        <v>0.29870000000000002</v>
      </c>
      <c r="F28" s="7">
        <v>0.4214</v>
      </c>
      <c r="G28" s="7">
        <v>0.20050000000000001</v>
      </c>
      <c r="H28" s="11">
        <v>0.52500000000000002</v>
      </c>
      <c r="I28" s="7">
        <v>0.33229999999999998</v>
      </c>
      <c r="J28" s="11">
        <v>0.30170000000000002</v>
      </c>
      <c r="K28" s="7">
        <v>0.5081</v>
      </c>
      <c r="L28" s="11">
        <v>0.4194</v>
      </c>
      <c r="M28" s="30">
        <f t="shared" ref="M28:M30" si="7">AVERAGE(C28:L28)</f>
        <v>0.37975999999999999</v>
      </c>
    </row>
    <row r="29" spans="1:13" s="2" customFormat="1">
      <c r="A29" s="23"/>
      <c r="B29" s="3" t="s">
        <v>17</v>
      </c>
      <c r="C29" s="8">
        <v>0.39119999999999999</v>
      </c>
      <c r="D29" s="12">
        <v>0.3765</v>
      </c>
      <c r="E29" s="8">
        <v>0.2341</v>
      </c>
      <c r="F29" s="8">
        <v>0.48409999999999997</v>
      </c>
      <c r="G29" s="8">
        <v>0.16200000000000001</v>
      </c>
      <c r="H29" s="12">
        <v>0.56459999999999999</v>
      </c>
      <c r="I29" s="8">
        <v>0.31609999999999999</v>
      </c>
      <c r="J29" s="12">
        <v>0.26600000000000001</v>
      </c>
      <c r="K29" s="8">
        <v>0.62029999999999996</v>
      </c>
      <c r="L29" s="12">
        <v>0.50600000000000001</v>
      </c>
      <c r="M29" s="31">
        <f t="shared" si="7"/>
        <v>0.39208999999999994</v>
      </c>
    </row>
    <row r="30" spans="1:13" s="2" customFormat="1">
      <c r="A30" s="24"/>
      <c r="B30" s="28" t="s">
        <v>23</v>
      </c>
      <c r="C30" s="13">
        <v>0.39700000000000002</v>
      </c>
      <c r="D30" s="14">
        <v>0.38190000000000002</v>
      </c>
      <c r="E30" s="13">
        <v>0.26250000000000001</v>
      </c>
      <c r="F30" s="13">
        <v>0.4506</v>
      </c>
      <c r="G30" s="13">
        <v>0.1792</v>
      </c>
      <c r="H30" s="14">
        <v>0.54410000000000003</v>
      </c>
      <c r="I30" s="13">
        <v>0.32400000000000001</v>
      </c>
      <c r="J30" s="14">
        <v>0.28270000000000001</v>
      </c>
      <c r="K30" s="13">
        <v>0.55869999999999997</v>
      </c>
      <c r="L30" s="14">
        <v>0.45860000000000001</v>
      </c>
      <c r="M30" s="34">
        <f>AVERAGE(C30:L30)</f>
        <v>0.38392999999999999</v>
      </c>
    </row>
    <row r="31" spans="1:13" s="2" customFormat="1">
      <c r="A31" s="21" t="s">
        <v>28</v>
      </c>
      <c r="B31" s="20" t="s">
        <v>16</v>
      </c>
      <c r="C31" s="7">
        <v>0.51849999999999996</v>
      </c>
      <c r="D31" s="11">
        <v>0.65949999999999998</v>
      </c>
      <c r="E31" s="7">
        <v>0.47010000000000002</v>
      </c>
      <c r="F31" s="7">
        <v>0.60429999999999995</v>
      </c>
      <c r="G31" s="7">
        <v>0.57479999999999998</v>
      </c>
      <c r="H31" s="11">
        <v>0.55689999999999995</v>
      </c>
      <c r="I31" s="7">
        <v>0.51839999999999997</v>
      </c>
      <c r="J31" s="11">
        <v>0.54869999999999997</v>
      </c>
      <c r="K31" s="7">
        <v>0.80249999999999999</v>
      </c>
      <c r="L31" s="11">
        <v>0.56859999999999999</v>
      </c>
      <c r="M31" s="30">
        <f t="shared" ref="M31:M33" si="8">AVERAGE(C31:L31)</f>
        <v>0.58222999999999991</v>
      </c>
    </row>
    <row r="32" spans="1:13" s="2" customFormat="1">
      <c r="A32" s="23"/>
      <c r="B32" s="3" t="s">
        <v>17</v>
      </c>
      <c r="C32" s="8">
        <v>0.51470000000000005</v>
      </c>
      <c r="D32" s="12">
        <v>0.65800000000000003</v>
      </c>
      <c r="E32" s="8">
        <v>0.46060000000000001</v>
      </c>
      <c r="F32" s="8">
        <v>0.60299999999999998</v>
      </c>
      <c r="G32" s="8">
        <v>0.5736</v>
      </c>
      <c r="H32" s="12">
        <v>0.55469999999999997</v>
      </c>
      <c r="I32" s="8">
        <v>0.51990000000000003</v>
      </c>
      <c r="J32" s="12">
        <v>0.54649999999999999</v>
      </c>
      <c r="K32" s="8">
        <v>0.80649999999999999</v>
      </c>
      <c r="L32" s="12">
        <v>0.56440000000000001</v>
      </c>
      <c r="M32" s="31">
        <f t="shared" si="8"/>
        <v>0.58018999999999998</v>
      </c>
    </row>
    <row r="33" spans="1:13" s="2" customFormat="1">
      <c r="A33" s="25"/>
      <c r="B33" s="22" t="s">
        <v>23</v>
      </c>
      <c r="C33" s="9">
        <v>0.51659999999999995</v>
      </c>
      <c r="D33" s="10">
        <v>0.65869999999999995</v>
      </c>
      <c r="E33" s="9">
        <v>0.46529999999999999</v>
      </c>
      <c r="F33" s="9">
        <v>0.60360000000000003</v>
      </c>
      <c r="G33" s="9">
        <v>0.57420000000000004</v>
      </c>
      <c r="H33" s="10">
        <v>0.55579999999999996</v>
      </c>
      <c r="I33" s="9">
        <v>0.51919999999999999</v>
      </c>
      <c r="J33" s="10">
        <v>0.54759999999999998</v>
      </c>
      <c r="K33" s="9">
        <v>0.80449999999999999</v>
      </c>
      <c r="L33" s="10">
        <v>0.5665</v>
      </c>
      <c r="M33" s="34">
        <f>AVERAGE(C33:L33)</f>
        <v>0.58120000000000016</v>
      </c>
    </row>
    <row r="34" spans="1:13" s="2" customFormat="1">
      <c r="A34" s="23" t="s">
        <v>29</v>
      </c>
      <c r="B34" s="3" t="s">
        <v>16</v>
      </c>
      <c r="C34" s="8">
        <v>0.31900000000000001</v>
      </c>
      <c r="D34" s="12">
        <v>0.35</v>
      </c>
      <c r="E34" s="8">
        <v>0.27950000000000003</v>
      </c>
      <c r="F34" s="8">
        <v>0.29930000000000001</v>
      </c>
      <c r="G34" s="8">
        <v>0.2457</v>
      </c>
      <c r="H34" s="12">
        <v>0.40129999999999999</v>
      </c>
      <c r="I34" s="8">
        <v>0.31709999999999999</v>
      </c>
      <c r="J34" s="12">
        <v>0.24859999999999999</v>
      </c>
      <c r="K34" s="8">
        <v>0.40379999999999999</v>
      </c>
      <c r="L34" s="12">
        <v>0.38569999999999999</v>
      </c>
      <c r="M34" s="30">
        <f t="shared" ref="M34:M35" si="9">AVERAGE(C34:L34)</f>
        <v>0.32500000000000007</v>
      </c>
    </row>
    <row r="35" spans="1:13" s="2" customFormat="1">
      <c r="A35" s="23"/>
      <c r="B35" s="3" t="s">
        <v>17</v>
      </c>
      <c r="C35" s="8">
        <v>0.40949999999999998</v>
      </c>
      <c r="D35" s="12">
        <v>0.39900000000000002</v>
      </c>
      <c r="E35" s="8">
        <v>0.29520000000000002</v>
      </c>
      <c r="F35" s="8">
        <v>0.38640000000000002</v>
      </c>
      <c r="G35" s="8">
        <v>0.30280000000000001</v>
      </c>
      <c r="H35" s="12">
        <v>0.47710000000000002</v>
      </c>
      <c r="I35" s="8">
        <v>0.4047</v>
      </c>
      <c r="J35" s="12">
        <v>0.29120000000000001</v>
      </c>
      <c r="K35" s="8">
        <v>0.62529999999999997</v>
      </c>
      <c r="L35" s="12">
        <v>0.55089999999999995</v>
      </c>
      <c r="M35" s="31">
        <f t="shared" si="9"/>
        <v>0.41420999999999991</v>
      </c>
    </row>
    <row r="36" spans="1:13" s="2" customFormat="1">
      <c r="A36" s="24"/>
      <c r="B36" s="28" t="s">
        <v>23</v>
      </c>
      <c r="C36" s="13">
        <v>0.35870000000000002</v>
      </c>
      <c r="D36" s="14">
        <v>0.37290000000000001</v>
      </c>
      <c r="E36" s="13">
        <v>0.28710000000000002</v>
      </c>
      <c r="F36" s="13">
        <v>0.33729999999999999</v>
      </c>
      <c r="G36" s="13">
        <v>0.27129999999999999</v>
      </c>
      <c r="H36" s="14">
        <v>0.436</v>
      </c>
      <c r="I36" s="13">
        <v>0.35560000000000003</v>
      </c>
      <c r="J36" s="14">
        <v>0.26819999999999999</v>
      </c>
      <c r="K36" s="13">
        <v>0.49070000000000003</v>
      </c>
      <c r="L36" s="14">
        <v>0.45379999999999998</v>
      </c>
      <c r="M36" s="34">
        <f>AVERAGE(C36:L36)</f>
        <v>0.36315999999999998</v>
      </c>
    </row>
    <row r="37" spans="1:13" s="2" customFormat="1">
      <c r="A37" s="21" t="s">
        <v>30</v>
      </c>
      <c r="B37" s="20" t="s">
        <v>16</v>
      </c>
      <c r="C37" s="7">
        <v>0.48720000000000002</v>
      </c>
      <c r="D37" s="11">
        <v>0.66710000000000003</v>
      </c>
      <c r="E37" s="7">
        <v>0.42380000000000001</v>
      </c>
      <c r="F37" s="7">
        <v>0.6321</v>
      </c>
      <c r="G37" s="7">
        <v>0.62849999999999995</v>
      </c>
      <c r="H37" s="11">
        <v>0.39479999999999998</v>
      </c>
      <c r="I37" s="7">
        <v>0.58360000000000001</v>
      </c>
      <c r="J37" s="11">
        <v>0.51939999999999997</v>
      </c>
      <c r="K37" s="7">
        <v>0.63029999999999997</v>
      </c>
      <c r="L37" s="11">
        <v>0.48509999999999998</v>
      </c>
      <c r="M37" s="30">
        <f t="shared" ref="M37:M39" si="10">AVERAGE(C37:L37)</f>
        <v>0.54519000000000006</v>
      </c>
    </row>
    <row r="38" spans="1:13" s="2" customFormat="1">
      <c r="A38" s="23"/>
      <c r="B38" s="3" t="s">
        <v>17</v>
      </c>
      <c r="C38" s="8">
        <v>0.48780000000000001</v>
      </c>
      <c r="D38" s="12">
        <v>0.66859999999999997</v>
      </c>
      <c r="E38" s="8">
        <v>0.4173</v>
      </c>
      <c r="F38" s="8">
        <v>0.63480000000000003</v>
      </c>
      <c r="G38" s="8">
        <v>0.63109999999999999</v>
      </c>
      <c r="H38" s="12">
        <v>0.39560000000000001</v>
      </c>
      <c r="I38" s="8">
        <v>0.58789999999999998</v>
      </c>
      <c r="J38" s="12">
        <v>0.51600000000000001</v>
      </c>
      <c r="K38" s="8">
        <v>0.63029999999999997</v>
      </c>
      <c r="L38" s="12">
        <v>0.48649999999999999</v>
      </c>
      <c r="M38" s="31">
        <f t="shared" si="10"/>
        <v>0.54559000000000002</v>
      </c>
    </row>
    <row r="39" spans="1:13" s="2" customFormat="1">
      <c r="A39" s="24"/>
      <c r="B39" s="28" t="s">
        <v>23</v>
      </c>
      <c r="C39" s="13">
        <v>0.48749999999999999</v>
      </c>
      <c r="D39" s="14">
        <v>0.66790000000000005</v>
      </c>
      <c r="E39" s="13">
        <v>0.42049999999999998</v>
      </c>
      <c r="F39" s="13">
        <v>0.63349999999999995</v>
      </c>
      <c r="G39" s="13">
        <v>0.62980000000000003</v>
      </c>
      <c r="H39" s="14">
        <v>0.3952</v>
      </c>
      <c r="I39" s="13">
        <v>0.5857</v>
      </c>
      <c r="J39" s="14">
        <v>0.51770000000000005</v>
      </c>
      <c r="K39" s="13">
        <v>0.63029999999999997</v>
      </c>
      <c r="L39" s="14">
        <v>0.48580000000000001</v>
      </c>
      <c r="M39" s="34">
        <f>AVERAGE(C39:L39)</f>
        <v>0.54539000000000004</v>
      </c>
    </row>
    <row r="40" spans="1:13" s="2" customFormat="1">
      <c r="A40" s="21" t="s">
        <v>31</v>
      </c>
      <c r="B40" s="20" t="s">
        <v>16</v>
      </c>
      <c r="C40" s="7">
        <v>0.29659999999999997</v>
      </c>
      <c r="D40" s="11">
        <v>0.33229999999999998</v>
      </c>
      <c r="E40" s="7">
        <v>0.33179999999999998</v>
      </c>
      <c r="F40" s="7">
        <v>0.27639999999999998</v>
      </c>
      <c r="G40" s="7">
        <v>0.1</v>
      </c>
      <c r="H40" s="11">
        <v>0.42920000000000003</v>
      </c>
      <c r="I40" s="7">
        <v>0.21360000000000001</v>
      </c>
      <c r="J40" s="11">
        <v>0.2084</v>
      </c>
      <c r="K40" s="7">
        <v>0.39700000000000002</v>
      </c>
      <c r="L40" s="11">
        <v>0.31409999999999999</v>
      </c>
      <c r="M40" s="30">
        <f t="shared" ref="M40:M42" si="11">AVERAGE(C40:L40)</f>
        <v>0.28993999999999998</v>
      </c>
    </row>
    <row r="41" spans="1:13" s="2" customFormat="1">
      <c r="A41" s="23"/>
      <c r="B41" s="3" t="s">
        <v>17</v>
      </c>
      <c r="C41" s="8">
        <v>0.25309999999999999</v>
      </c>
      <c r="D41" s="12">
        <v>0.253</v>
      </c>
      <c r="E41" s="8">
        <v>0.1883</v>
      </c>
      <c r="F41" s="8">
        <v>0.27810000000000001</v>
      </c>
      <c r="G41" s="8">
        <v>5.5399999999999998E-2</v>
      </c>
      <c r="H41" s="12">
        <v>0.40360000000000001</v>
      </c>
      <c r="I41" s="8">
        <v>0.15359999999999999</v>
      </c>
      <c r="J41" s="12">
        <v>0.13830000000000001</v>
      </c>
      <c r="K41" s="8">
        <v>0.4541</v>
      </c>
      <c r="L41" s="12">
        <v>0.3503</v>
      </c>
      <c r="M41" s="31">
        <f t="shared" si="11"/>
        <v>0.25278</v>
      </c>
    </row>
    <row r="42" spans="1:13" s="2" customFormat="1">
      <c r="A42" s="24"/>
      <c r="B42" s="28" t="s">
        <v>23</v>
      </c>
      <c r="C42" s="13">
        <v>0.27310000000000001</v>
      </c>
      <c r="D42" s="14">
        <v>0.2873</v>
      </c>
      <c r="E42" s="13">
        <v>0.24030000000000001</v>
      </c>
      <c r="F42" s="13">
        <v>0.2772</v>
      </c>
      <c r="G42" s="13">
        <v>7.1300000000000002E-2</v>
      </c>
      <c r="H42" s="14">
        <v>0.41599999999999998</v>
      </c>
      <c r="I42" s="13">
        <v>0.1787</v>
      </c>
      <c r="J42" s="14">
        <v>0.1663</v>
      </c>
      <c r="K42" s="13">
        <v>0.42359999999999998</v>
      </c>
      <c r="L42" s="14">
        <v>0.33119999999999999</v>
      </c>
      <c r="M42" s="34">
        <f>AVERAGE(C42:L42)</f>
        <v>0.26650000000000001</v>
      </c>
    </row>
    <row r="43" spans="1:13" s="2" customFormat="1">
      <c r="A43" s="21" t="s">
        <v>32</v>
      </c>
      <c r="B43" s="20" t="s">
        <v>16</v>
      </c>
      <c r="C43" s="7">
        <v>0.5665</v>
      </c>
      <c r="D43" s="11">
        <v>0.66979999999999995</v>
      </c>
      <c r="E43" s="7">
        <v>0.36130000000000001</v>
      </c>
      <c r="F43" s="7">
        <v>0.64039999999999997</v>
      </c>
      <c r="G43" s="7">
        <v>0.62870000000000004</v>
      </c>
      <c r="H43" s="11">
        <v>0.58130000000000004</v>
      </c>
      <c r="I43" s="7">
        <v>0.65239999999999998</v>
      </c>
      <c r="J43" s="11">
        <v>0.51519999999999999</v>
      </c>
      <c r="K43" s="7">
        <v>0.6411</v>
      </c>
      <c r="L43" s="11">
        <v>0.60940000000000005</v>
      </c>
      <c r="M43" s="30">
        <f t="shared" ref="M43:M45" si="12">AVERAGE(C43:L43)</f>
        <v>0.58660999999999996</v>
      </c>
    </row>
    <row r="44" spans="1:13" s="2" customFormat="1">
      <c r="A44" s="23"/>
      <c r="B44" s="3" t="s">
        <v>17</v>
      </c>
      <c r="C44" s="8">
        <v>0.56720000000000004</v>
      </c>
      <c r="D44" s="12">
        <v>0.66979999999999995</v>
      </c>
      <c r="E44" s="8">
        <v>0.36130000000000001</v>
      </c>
      <c r="F44" s="8">
        <v>0.6391</v>
      </c>
      <c r="G44" s="8">
        <v>0.63539999999999996</v>
      </c>
      <c r="H44" s="12">
        <v>0.58250000000000002</v>
      </c>
      <c r="I44" s="8">
        <v>0.65439999999999998</v>
      </c>
      <c r="J44" s="12">
        <v>0.51729999999999998</v>
      </c>
      <c r="K44" s="8">
        <v>0.64270000000000005</v>
      </c>
      <c r="L44" s="12">
        <v>0.6048</v>
      </c>
      <c r="M44" s="31">
        <f t="shared" si="12"/>
        <v>0.58745000000000003</v>
      </c>
    </row>
    <row r="45" spans="1:13" s="2" customFormat="1">
      <c r="A45" s="24"/>
      <c r="B45" s="28" t="s">
        <v>23</v>
      </c>
      <c r="C45" s="13">
        <v>0.56689999999999996</v>
      </c>
      <c r="D45" s="14">
        <v>0.66979999999999995</v>
      </c>
      <c r="E45" s="13">
        <v>0.36130000000000001</v>
      </c>
      <c r="F45" s="13">
        <v>0.63970000000000005</v>
      </c>
      <c r="G45" s="13">
        <v>0.63200000000000001</v>
      </c>
      <c r="H45" s="14">
        <v>0.58189999999999997</v>
      </c>
      <c r="I45" s="13">
        <v>0.65339999999999998</v>
      </c>
      <c r="J45" s="14">
        <v>0.51629999999999998</v>
      </c>
      <c r="K45" s="13">
        <v>0.64190000000000003</v>
      </c>
      <c r="L45" s="14">
        <v>0.60709999999999997</v>
      </c>
      <c r="M45" s="34">
        <f>AVERAGE(C45:L45)</f>
        <v>0.58703000000000005</v>
      </c>
    </row>
    <row r="46" spans="1:13" s="2" customFormat="1">
      <c r="A46" s="21" t="s">
        <v>33</v>
      </c>
      <c r="B46" s="20" t="s">
        <v>16</v>
      </c>
      <c r="C46" s="7">
        <v>0.31669999999999998</v>
      </c>
      <c r="D46" s="11">
        <v>0.29270000000000002</v>
      </c>
      <c r="E46" s="7">
        <v>0.28170000000000001</v>
      </c>
      <c r="F46" s="7">
        <v>0.2964</v>
      </c>
      <c r="G46" s="7">
        <v>0.22850000000000001</v>
      </c>
      <c r="H46" s="11">
        <v>0.40300000000000002</v>
      </c>
      <c r="I46" s="7">
        <v>0.28699999999999998</v>
      </c>
      <c r="J46" s="11">
        <v>0.23849999999999999</v>
      </c>
      <c r="K46" s="7">
        <v>0.4012</v>
      </c>
      <c r="L46" s="11">
        <v>0.3105</v>
      </c>
      <c r="M46" s="30">
        <f t="shared" ref="M46:M48" si="13">AVERAGE(C46:L46)</f>
        <v>0.30562000000000006</v>
      </c>
    </row>
    <row r="47" spans="1:13" s="2" customFormat="1">
      <c r="A47" s="23"/>
      <c r="B47" s="3" t="s">
        <v>17</v>
      </c>
      <c r="C47" s="8">
        <v>0.34229999999999999</v>
      </c>
      <c r="D47" s="12">
        <v>0.31119999999999998</v>
      </c>
      <c r="E47" s="8">
        <v>0.30530000000000002</v>
      </c>
      <c r="F47" s="8">
        <v>0.36309999999999998</v>
      </c>
      <c r="G47" s="8">
        <v>0.24310000000000001</v>
      </c>
      <c r="H47" s="12">
        <v>0.43340000000000001</v>
      </c>
      <c r="I47" s="8">
        <v>0.28949999999999998</v>
      </c>
      <c r="J47" s="12">
        <v>0.25530000000000003</v>
      </c>
      <c r="K47" s="8">
        <v>0.51859999999999995</v>
      </c>
      <c r="L47" s="12">
        <v>0.32629999999999998</v>
      </c>
      <c r="M47" s="31">
        <f t="shared" si="13"/>
        <v>0.33880999999999994</v>
      </c>
    </row>
    <row r="48" spans="1:13" s="2" customFormat="1">
      <c r="A48" s="24"/>
      <c r="B48" s="28" t="s">
        <v>23</v>
      </c>
      <c r="C48" s="13">
        <v>0.32900000000000001</v>
      </c>
      <c r="D48" s="14">
        <v>0.30170000000000002</v>
      </c>
      <c r="E48" s="13">
        <v>0.29299999999999998</v>
      </c>
      <c r="F48" s="13">
        <v>0.32629999999999998</v>
      </c>
      <c r="G48" s="13">
        <v>0.23549999999999999</v>
      </c>
      <c r="H48" s="14">
        <v>0.41760000000000003</v>
      </c>
      <c r="I48" s="13">
        <v>0.28820000000000001</v>
      </c>
      <c r="J48" s="14">
        <v>0.24660000000000001</v>
      </c>
      <c r="K48" s="13">
        <v>0.45240000000000002</v>
      </c>
      <c r="L48" s="14">
        <v>0.31819999999999998</v>
      </c>
      <c r="M48" s="34">
        <f>AVERAGE(C48:L48)</f>
        <v>0.32084999999999997</v>
      </c>
    </row>
    <row r="49" spans="1:13" s="2" customFormat="1">
      <c r="A49" s="21" t="s">
        <v>34</v>
      </c>
      <c r="B49" s="20" t="s">
        <v>16</v>
      </c>
      <c r="C49" s="7">
        <v>0.50860000000000005</v>
      </c>
      <c r="D49" s="11">
        <v>0.58450000000000002</v>
      </c>
      <c r="E49" s="7">
        <v>0.4234</v>
      </c>
      <c r="F49" s="7">
        <v>0.57230000000000003</v>
      </c>
      <c r="G49" s="7">
        <v>0.61829999999999996</v>
      </c>
      <c r="H49" s="11">
        <v>0.60829999999999995</v>
      </c>
      <c r="I49" s="7">
        <v>0.5081</v>
      </c>
      <c r="J49" s="11">
        <v>0.498</v>
      </c>
      <c r="K49" s="7">
        <v>0.43890000000000001</v>
      </c>
      <c r="L49" s="11">
        <v>0.50600000000000001</v>
      </c>
      <c r="M49" s="30">
        <f t="shared" ref="M49:M51" si="14">AVERAGE(C49:L49)</f>
        <v>0.52664000000000011</v>
      </c>
    </row>
    <row r="50" spans="1:13" s="2" customFormat="1">
      <c r="A50" s="23"/>
      <c r="B50" s="3" t="s">
        <v>17</v>
      </c>
      <c r="C50" s="8">
        <v>0.50490000000000002</v>
      </c>
      <c r="D50" s="12">
        <v>0.58309999999999995</v>
      </c>
      <c r="E50" s="8">
        <v>0.4148</v>
      </c>
      <c r="F50" s="8">
        <v>0.57110000000000005</v>
      </c>
      <c r="G50" s="8">
        <v>0.61829999999999996</v>
      </c>
      <c r="H50" s="12">
        <v>0.60829999999999995</v>
      </c>
      <c r="I50" s="8">
        <v>0.5081</v>
      </c>
      <c r="J50" s="12">
        <v>0.496</v>
      </c>
      <c r="K50" s="8">
        <v>0.43669999999999998</v>
      </c>
      <c r="L50" s="12">
        <v>0.503</v>
      </c>
      <c r="M50" s="31">
        <f t="shared" si="14"/>
        <v>0.52443000000000006</v>
      </c>
    </row>
    <row r="51" spans="1:13" s="2" customFormat="1">
      <c r="A51" s="24"/>
      <c r="B51" s="28" t="s">
        <v>23</v>
      </c>
      <c r="C51" s="13">
        <v>0.50670000000000004</v>
      </c>
      <c r="D51" s="14">
        <v>0.58379999999999999</v>
      </c>
      <c r="E51" s="13">
        <v>0.41899999999999998</v>
      </c>
      <c r="F51" s="13">
        <v>0.57169999999999999</v>
      </c>
      <c r="G51" s="13">
        <v>0.61829999999999996</v>
      </c>
      <c r="H51" s="14">
        <v>0.60829999999999995</v>
      </c>
      <c r="I51" s="13">
        <v>0.5081</v>
      </c>
      <c r="J51" s="14">
        <v>0.497</v>
      </c>
      <c r="K51" s="13">
        <v>0.43780000000000002</v>
      </c>
      <c r="L51" s="14">
        <v>0.50449999999999995</v>
      </c>
      <c r="M51" s="34">
        <f>AVERAGE(C51:L51)</f>
        <v>0.52551999999999999</v>
      </c>
    </row>
    <row r="52" spans="1:13" s="2" customFormat="1">
      <c r="A52" s="21" t="s">
        <v>35</v>
      </c>
      <c r="B52" s="20" t="s">
        <v>16</v>
      </c>
      <c r="C52" s="7">
        <v>0.36199999999999999</v>
      </c>
      <c r="D52" s="11">
        <v>0.28260000000000002</v>
      </c>
      <c r="E52" s="7">
        <v>0.26090000000000002</v>
      </c>
      <c r="F52" s="7">
        <v>0.33379999999999999</v>
      </c>
      <c r="G52" s="7">
        <v>0.2266</v>
      </c>
      <c r="H52" s="11">
        <v>0.41770000000000002</v>
      </c>
      <c r="I52" s="7">
        <v>0.31180000000000002</v>
      </c>
      <c r="J52" s="11">
        <v>0.2339</v>
      </c>
      <c r="K52" s="7">
        <v>0.44679999999999997</v>
      </c>
      <c r="L52" s="11">
        <v>0.35339999999999999</v>
      </c>
      <c r="M52" s="30">
        <f t="shared" ref="M52:M54" si="15">AVERAGE(C52:L52)</f>
        <v>0.32294999999999996</v>
      </c>
    </row>
    <row r="53" spans="1:13" s="2" customFormat="1">
      <c r="A53" s="23"/>
      <c r="B53" s="3" t="s">
        <v>17</v>
      </c>
      <c r="C53" s="8">
        <v>0.44740000000000002</v>
      </c>
      <c r="D53" s="12">
        <v>0.34200000000000003</v>
      </c>
      <c r="E53" s="8">
        <v>0.27479999999999999</v>
      </c>
      <c r="F53" s="8">
        <v>0.48199999999999998</v>
      </c>
      <c r="G53" s="8">
        <v>0.25800000000000001</v>
      </c>
      <c r="H53" s="12">
        <v>0.53480000000000005</v>
      </c>
      <c r="I53" s="8">
        <v>0.3427</v>
      </c>
      <c r="J53" s="12">
        <v>0.28989999999999999</v>
      </c>
      <c r="K53" s="8">
        <v>0.63519999999999999</v>
      </c>
      <c r="L53" s="12">
        <v>0.49249999999999999</v>
      </c>
      <c r="M53" s="31">
        <f t="shared" si="15"/>
        <v>0.40992999999999996</v>
      </c>
    </row>
    <row r="54" spans="1:13" s="2" customFormat="1">
      <c r="A54" s="24"/>
      <c r="B54" s="28" t="s">
        <v>23</v>
      </c>
      <c r="C54" s="13">
        <v>0.4002</v>
      </c>
      <c r="D54" s="14">
        <v>0.3095</v>
      </c>
      <c r="E54" s="13">
        <v>0.26769999999999999</v>
      </c>
      <c r="F54" s="13">
        <v>0.39439999999999997</v>
      </c>
      <c r="G54" s="13">
        <v>0.24129999999999999</v>
      </c>
      <c r="H54" s="14">
        <v>0.46899999999999997</v>
      </c>
      <c r="I54" s="13">
        <v>0.32650000000000001</v>
      </c>
      <c r="J54" s="14">
        <v>0.25890000000000002</v>
      </c>
      <c r="K54" s="13">
        <v>0.52459999999999996</v>
      </c>
      <c r="L54" s="14">
        <v>0.41149999999999998</v>
      </c>
      <c r="M54" s="34">
        <f>AVERAGE(C54:L54)</f>
        <v>0.36036000000000001</v>
      </c>
    </row>
    <row r="55" spans="1:13" s="2" customFormat="1">
      <c r="A55" s="21" t="s">
        <v>36</v>
      </c>
      <c r="B55" s="20" t="s">
        <v>16</v>
      </c>
      <c r="C55" s="7">
        <v>0.61129999999999995</v>
      </c>
      <c r="D55" s="11">
        <v>0.5988</v>
      </c>
      <c r="E55" s="7">
        <v>0.443</v>
      </c>
      <c r="F55" s="7">
        <v>0.66669999999999996</v>
      </c>
      <c r="G55" s="7">
        <v>0.63619999999999999</v>
      </c>
      <c r="H55" s="11">
        <v>0.56459999999999999</v>
      </c>
      <c r="I55" s="7">
        <v>0.50960000000000005</v>
      </c>
      <c r="J55" s="11">
        <v>0.504</v>
      </c>
      <c r="K55" s="7">
        <v>0.67</v>
      </c>
      <c r="L55" s="11">
        <v>0.46</v>
      </c>
      <c r="M55" s="30">
        <f t="shared" ref="M55:M57" si="16">AVERAGE(C55:L55)</f>
        <v>0.56642000000000003</v>
      </c>
    </row>
    <row r="56" spans="1:13" s="2" customFormat="1">
      <c r="A56" s="23"/>
      <c r="B56" s="3" t="s">
        <v>17</v>
      </c>
      <c r="C56" s="8">
        <v>0.60760000000000003</v>
      </c>
      <c r="D56" s="12">
        <v>0.59740000000000004</v>
      </c>
      <c r="E56" s="8">
        <v>0.43509999999999999</v>
      </c>
      <c r="F56" s="8">
        <v>0.66669999999999996</v>
      </c>
      <c r="G56" s="8">
        <v>0.63749999999999996</v>
      </c>
      <c r="H56" s="12">
        <v>0.56459999999999999</v>
      </c>
      <c r="I56" s="8">
        <v>0.5111</v>
      </c>
      <c r="J56" s="12">
        <v>0.50270000000000004</v>
      </c>
      <c r="K56" s="8">
        <v>0.66500000000000004</v>
      </c>
      <c r="L56" s="12">
        <v>0.45660000000000001</v>
      </c>
      <c r="M56" s="31">
        <f t="shared" si="16"/>
        <v>0.56442999999999999</v>
      </c>
    </row>
    <row r="57" spans="1:13" s="2" customFormat="1">
      <c r="A57" s="24"/>
      <c r="B57" s="28" t="s">
        <v>23</v>
      </c>
      <c r="C57" s="13">
        <v>0.60940000000000005</v>
      </c>
      <c r="D57" s="14">
        <v>0.59809999999999997</v>
      </c>
      <c r="E57" s="13">
        <v>0.439</v>
      </c>
      <c r="F57" s="13">
        <v>0.66669999999999996</v>
      </c>
      <c r="G57" s="13">
        <v>0.63680000000000003</v>
      </c>
      <c r="H57" s="14">
        <v>0.56459999999999999</v>
      </c>
      <c r="I57" s="13">
        <v>0.51029999999999998</v>
      </c>
      <c r="J57" s="14">
        <v>0.50329999999999997</v>
      </c>
      <c r="K57" s="13">
        <v>0.66749999999999998</v>
      </c>
      <c r="L57" s="14">
        <v>0.45829999999999999</v>
      </c>
      <c r="M57" s="34">
        <f>AVERAGE(C57:L57)</f>
        <v>0.56540000000000012</v>
      </c>
    </row>
    <row r="58" spans="1:13" s="2" customFormat="1">
      <c r="A58" s="15" t="s">
        <v>37</v>
      </c>
      <c r="B58" s="20" t="s">
        <v>16</v>
      </c>
      <c r="C58" s="7">
        <v>0.68899999999999995</v>
      </c>
      <c r="D58" s="11">
        <v>0.67420000000000002</v>
      </c>
      <c r="E58" s="7">
        <v>0.68120000000000003</v>
      </c>
      <c r="F58" s="7">
        <v>0.70820000000000005</v>
      </c>
      <c r="G58" s="7">
        <v>0.67800000000000005</v>
      </c>
      <c r="H58" s="11">
        <v>0.70620000000000005</v>
      </c>
      <c r="I58" s="7">
        <v>0.70150000000000001</v>
      </c>
      <c r="J58" s="11">
        <v>0.6089</v>
      </c>
      <c r="K58" s="7">
        <v>0.69940000000000002</v>
      </c>
      <c r="L58" s="11">
        <v>0.81379999999999997</v>
      </c>
      <c r="M58" s="30">
        <f t="shared" ref="M58:M60" si="17">AVERAGE(C58:L58)</f>
        <v>0.69603999999999999</v>
      </c>
    </row>
    <row r="59" spans="1:13" s="2" customFormat="1">
      <c r="A59" s="23"/>
      <c r="B59" s="3" t="s">
        <v>17</v>
      </c>
      <c r="C59" s="8">
        <v>0.70420000000000005</v>
      </c>
      <c r="D59" s="12">
        <v>0.6734</v>
      </c>
      <c r="E59" s="8">
        <v>0.68189999999999995</v>
      </c>
      <c r="F59" s="8">
        <v>0.71130000000000004</v>
      </c>
      <c r="G59" s="8">
        <v>0.68230000000000002</v>
      </c>
      <c r="H59" s="12">
        <v>0.72170000000000001</v>
      </c>
      <c r="I59" s="8">
        <v>0.7046</v>
      </c>
      <c r="J59" s="12">
        <v>0.65820000000000001</v>
      </c>
      <c r="K59" s="8">
        <v>0.81389999999999996</v>
      </c>
      <c r="L59" s="12">
        <v>0.81140000000000001</v>
      </c>
      <c r="M59" s="31">
        <f t="shared" si="17"/>
        <v>0.71629000000000009</v>
      </c>
    </row>
    <row r="60" spans="1:13" s="2" customFormat="1">
      <c r="A60" s="26"/>
      <c r="B60" s="28" t="s">
        <v>23</v>
      </c>
      <c r="C60" s="16">
        <v>0.69650000000000001</v>
      </c>
      <c r="D60" s="17">
        <v>0.67379999999999995</v>
      </c>
      <c r="E60" s="16">
        <v>0.67769999999999997</v>
      </c>
      <c r="F60" s="16">
        <v>0.7097</v>
      </c>
      <c r="G60" s="16">
        <v>0.68010000000000004</v>
      </c>
      <c r="H60" s="17">
        <v>0.71389999999999998</v>
      </c>
      <c r="I60" s="16">
        <v>0.70299999999999996</v>
      </c>
      <c r="J60" s="17">
        <v>0.63260000000000005</v>
      </c>
      <c r="K60" s="16">
        <v>0.75229999999999997</v>
      </c>
      <c r="L60" s="17">
        <v>0.81259999999999999</v>
      </c>
      <c r="M60" s="34">
        <f>AVERAGE(C60:L60)</f>
        <v>0.70521999999999996</v>
      </c>
    </row>
    <row r="61" spans="1:13" s="2" customFormat="1">
      <c r="A61" s="15" t="s">
        <v>38</v>
      </c>
      <c r="B61" s="20" t="s">
        <v>16</v>
      </c>
      <c r="C61" s="7">
        <v>0.52680000000000005</v>
      </c>
      <c r="D61" s="11">
        <v>0.67989999999999995</v>
      </c>
      <c r="E61" s="7">
        <v>0.66149999999999998</v>
      </c>
      <c r="F61" s="7">
        <v>0.64559999999999995</v>
      </c>
      <c r="G61" s="7">
        <v>0.65129999999999999</v>
      </c>
      <c r="H61" s="11">
        <v>0.72570000000000001</v>
      </c>
      <c r="I61" s="7">
        <v>0.67149999999999999</v>
      </c>
      <c r="J61" s="11">
        <v>0.5887</v>
      </c>
      <c r="K61" s="7">
        <v>0.76039999999999996</v>
      </c>
      <c r="L61" s="11">
        <v>0.75439999999999996</v>
      </c>
      <c r="M61" s="30">
        <f t="shared" ref="M61:M63" si="18">AVERAGE(C61:L61)</f>
        <v>0.66657999999999995</v>
      </c>
    </row>
    <row r="62" spans="1:13" s="2" customFormat="1">
      <c r="A62" s="23"/>
      <c r="B62" s="3" t="s">
        <v>17</v>
      </c>
      <c r="C62" s="8">
        <v>0.72130000000000005</v>
      </c>
      <c r="D62" s="12">
        <v>0.69120000000000004</v>
      </c>
      <c r="E62" s="8">
        <v>0.65139999999999998</v>
      </c>
      <c r="F62" s="8">
        <v>0.64970000000000006</v>
      </c>
      <c r="G62" s="8">
        <v>0.66100000000000003</v>
      </c>
      <c r="H62" s="12">
        <v>0.74160000000000004</v>
      </c>
      <c r="I62" s="8">
        <v>0.68240000000000001</v>
      </c>
      <c r="J62" s="12">
        <v>0.60899999999999999</v>
      </c>
      <c r="K62" s="8">
        <v>0.81889999999999996</v>
      </c>
      <c r="L62" s="12">
        <v>0.77249999999999996</v>
      </c>
      <c r="M62" s="31">
        <f t="shared" si="18"/>
        <v>0.69990000000000019</v>
      </c>
    </row>
    <row r="63" spans="1:13" s="2" customFormat="1">
      <c r="A63" s="26"/>
      <c r="B63" s="28" t="s">
        <v>23</v>
      </c>
      <c r="C63" s="16">
        <v>0.6089</v>
      </c>
      <c r="D63" s="17">
        <v>0.6855</v>
      </c>
      <c r="E63" s="16">
        <v>0.65639999999999998</v>
      </c>
      <c r="F63" s="16">
        <v>0.64759999999999995</v>
      </c>
      <c r="G63" s="16">
        <v>0.65610000000000002</v>
      </c>
      <c r="H63" s="17">
        <v>0.73350000000000004</v>
      </c>
      <c r="I63" s="16">
        <v>0.67689999999999995</v>
      </c>
      <c r="J63" s="17">
        <v>0.59870000000000001</v>
      </c>
      <c r="K63" s="16">
        <v>0.78849999999999998</v>
      </c>
      <c r="L63" s="17">
        <v>0.76329999999999998</v>
      </c>
      <c r="M63" s="34">
        <f>AVERAGE(C63:L63)</f>
        <v>0.68153999999999992</v>
      </c>
    </row>
    <row r="64" spans="1:13" s="2" customFormat="1">
      <c r="A64" s="15" t="s">
        <v>39</v>
      </c>
      <c r="B64" s="20" t="s">
        <v>16</v>
      </c>
      <c r="C64" s="7">
        <v>0.59719999999999995</v>
      </c>
      <c r="D64" s="11">
        <v>0.62119999999999997</v>
      </c>
      <c r="E64" s="7">
        <v>4.1599999999999998E-2</v>
      </c>
      <c r="F64" s="7">
        <v>0.52529999999999999</v>
      </c>
      <c r="G64" s="7">
        <v>0.65259999999999996</v>
      </c>
      <c r="H64" s="11">
        <v>0.61360000000000003</v>
      </c>
      <c r="I64" s="7">
        <v>0.66110000000000002</v>
      </c>
      <c r="J64" s="11">
        <v>0.5736</v>
      </c>
      <c r="K64" s="7">
        <v>0.58130000000000004</v>
      </c>
      <c r="L64" s="11">
        <v>0.67490000000000006</v>
      </c>
      <c r="M64" s="30">
        <f t="shared" ref="M64:M66" si="19">AVERAGE(C64:L64)</f>
        <v>0.55423999999999995</v>
      </c>
    </row>
    <row r="65" spans="1:13" s="2" customFormat="1">
      <c r="A65" s="23"/>
      <c r="B65" s="3" t="s">
        <v>17</v>
      </c>
      <c r="C65" s="8">
        <v>0.66869999999999996</v>
      </c>
      <c r="D65" s="12">
        <v>0.63300000000000001</v>
      </c>
      <c r="E65" s="8">
        <v>4.07E-2</v>
      </c>
      <c r="F65" s="8">
        <v>0.52869999999999995</v>
      </c>
      <c r="G65" s="8">
        <v>0.66100000000000003</v>
      </c>
      <c r="H65" s="12">
        <v>0.62819999999999998</v>
      </c>
      <c r="I65" s="8">
        <v>0.70609999999999995</v>
      </c>
      <c r="J65" s="12">
        <v>0.59570000000000001</v>
      </c>
      <c r="K65" s="8">
        <v>0.58560000000000001</v>
      </c>
      <c r="L65" s="12">
        <v>0.69310000000000005</v>
      </c>
      <c r="M65" s="31">
        <f t="shared" si="19"/>
        <v>0.57408000000000003</v>
      </c>
    </row>
    <row r="66" spans="1:13" s="2" customFormat="1">
      <c r="A66" s="27"/>
      <c r="B66" s="22" t="s">
        <v>23</v>
      </c>
      <c r="C66" s="18">
        <v>0.63090000000000002</v>
      </c>
      <c r="D66" s="19">
        <v>0.62709999999999999</v>
      </c>
      <c r="E66" s="18">
        <v>4.1099999999999998E-2</v>
      </c>
      <c r="F66" s="18">
        <v>0.52700000000000002</v>
      </c>
      <c r="G66" s="18">
        <v>0.65680000000000005</v>
      </c>
      <c r="H66" s="19">
        <v>0.62080000000000002</v>
      </c>
      <c r="I66" s="18">
        <v>0.68289999999999995</v>
      </c>
      <c r="J66" s="19">
        <v>0.58450000000000002</v>
      </c>
      <c r="K66" s="18">
        <v>0.58340000000000003</v>
      </c>
      <c r="L66" s="19">
        <v>0.68389999999999995</v>
      </c>
      <c r="M66" s="32">
        <f>AVERAGE(C66:L66)</f>
        <v>0.56384000000000012</v>
      </c>
    </row>
    <row r="67" spans="1:13" s="2" customFormat="1">
      <c r="A67" s="21" t="s">
        <v>40</v>
      </c>
      <c r="B67" s="20" t="s">
        <v>16</v>
      </c>
      <c r="C67" s="7">
        <v>0.73780000000000001</v>
      </c>
      <c r="D67" s="11">
        <v>0.72470000000000001</v>
      </c>
      <c r="E67" s="7">
        <v>0.69069999999999998</v>
      </c>
      <c r="F67" s="7">
        <v>0.70340000000000003</v>
      </c>
      <c r="G67" s="7">
        <v>0.69940000000000002</v>
      </c>
      <c r="H67" s="11">
        <v>0.71540000000000004</v>
      </c>
      <c r="I67" s="7">
        <v>0.68530000000000002</v>
      </c>
      <c r="J67" s="11">
        <v>0.67559999999999998</v>
      </c>
      <c r="K67" s="7">
        <v>0.86570000000000003</v>
      </c>
      <c r="L67" s="11">
        <v>0.80900000000000005</v>
      </c>
      <c r="M67" s="30">
        <f t="shared" ref="M67:M69" si="20">AVERAGE(C67:L67)</f>
        <v>0.73070000000000002</v>
      </c>
    </row>
    <row r="68" spans="1:13" s="2" customFormat="1">
      <c r="A68" s="23"/>
      <c r="B68" s="3" t="s">
        <v>17</v>
      </c>
      <c r="C68" s="8">
        <v>0.73960000000000004</v>
      </c>
      <c r="D68" s="12">
        <v>0.72209999999999996</v>
      </c>
      <c r="E68" s="8">
        <v>0.68189999999999995</v>
      </c>
      <c r="F68" s="8">
        <v>0.70489999999999997</v>
      </c>
      <c r="G68" s="8">
        <v>0.69940000000000002</v>
      </c>
      <c r="H68" s="12">
        <v>0.71970000000000001</v>
      </c>
      <c r="I68" s="8">
        <v>0.68830000000000002</v>
      </c>
      <c r="J68" s="12">
        <v>0.67020000000000002</v>
      </c>
      <c r="K68" s="8">
        <v>0.86350000000000005</v>
      </c>
      <c r="L68" s="12">
        <v>0.8054</v>
      </c>
      <c r="M68" s="31">
        <f t="shared" si="20"/>
        <v>0.72950000000000004</v>
      </c>
    </row>
    <row r="69" spans="1:13" s="2" customFormat="1">
      <c r="A69" s="26"/>
      <c r="B69" s="28" t="s">
        <v>23</v>
      </c>
      <c r="C69" s="16">
        <v>0.72740000000000005</v>
      </c>
      <c r="D69" s="17">
        <v>0.72340000000000004</v>
      </c>
      <c r="E69" s="16">
        <v>0.68630000000000002</v>
      </c>
      <c r="F69" s="16">
        <v>0.70409999999999995</v>
      </c>
      <c r="G69" s="16">
        <v>0.69940000000000002</v>
      </c>
      <c r="H69" s="17">
        <v>0.71750000000000003</v>
      </c>
      <c r="I69" s="16">
        <v>0.68679999999999997</v>
      </c>
      <c r="J69" s="17">
        <v>0.67290000000000005</v>
      </c>
      <c r="K69" s="16">
        <v>0.86460000000000004</v>
      </c>
      <c r="L69" s="17">
        <v>0.80720000000000003</v>
      </c>
      <c r="M69" s="34">
        <f>AVERAGE(C69:L69)</f>
        <v>0.72896000000000005</v>
      </c>
    </row>
    <row r="70" spans="1:13" s="2" customFormat="1">
      <c r="A70" s="21" t="s">
        <v>41</v>
      </c>
      <c r="B70" s="20" t="s">
        <v>16</v>
      </c>
      <c r="C70" s="7">
        <v>0.6925</v>
      </c>
      <c r="D70" s="11">
        <v>0.71550000000000002</v>
      </c>
      <c r="E70" s="7">
        <v>0.66239999999999999</v>
      </c>
      <c r="F70" s="7">
        <v>0.69920000000000004</v>
      </c>
      <c r="G70" s="7">
        <v>0.68659999999999999</v>
      </c>
      <c r="H70" s="11">
        <v>0.73409999999999997</v>
      </c>
      <c r="I70" s="7">
        <v>0.6784</v>
      </c>
      <c r="J70" s="11">
        <v>0.65949999999999998</v>
      </c>
      <c r="K70" s="7">
        <v>0.82630000000000003</v>
      </c>
      <c r="L70" s="11">
        <v>0.8054</v>
      </c>
      <c r="M70" s="30">
        <f t="shared" ref="M70:M72" si="21">AVERAGE(C70:L70)</f>
        <v>0.7159899999999999</v>
      </c>
    </row>
    <row r="71" spans="1:13" s="2" customFormat="1">
      <c r="A71" s="23"/>
      <c r="B71" s="3" t="s">
        <v>17</v>
      </c>
      <c r="C71" s="8">
        <v>0.69930000000000003</v>
      </c>
      <c r="D71" s="12">
        <v>0.71379999999999999</v>
      </c>
      <c r="E71" s="8">
        <v>0.65390000000000004</v>
      </c>
      <c r="F71" s="8">
        <v>0.7006</v>
      </c>
      <c r="G71" s="8">
        <v>0.68659999999999999</v>
      </c>
      <c r="H71" s="12">
        <v>0.73560000000000003</v>
      </c>
      <c r="I71" s="8">
        <v>0.68540000000000001</v>
      </c>
      <c r="J71" s="12">
        <v>0.65429999999999999</v>
      </c>
      <c r="K71" s="8">
        <v>0.82630000000000003</v>
      </c>
      <c r="L71" s="12">
        <v>0.8054</v>
      </c>
      <c r="M71" s="31">
        <f t="shared" si="21"/>
        <v>0.71611999999999987</v>
      </c>
    </row>
    <row r="72" spans="1:13" s="2" customFormat="1">
      <c r="A72" s="27"/>
      <c r="B72" s="22" t="s">
        <v>23</v>
      </c>
      <c r="C72" s="18">
        <v>0.69589999999999996</v>
      </c>
      <c r="D72" s="19">
        <v>0.71460000000000001</v>
      </c>
      <c r="E72" s="18">
        <v>0.65810000000000002</v>
      </c>
      <c r="F72" s="18">
        <v>0.69989999999999997</v>
      </c>
      <c r="G72" s="18">
        <v>0.68659999999999999</v>
      </c>
      <c r="H72" s="19">
        <v>0.7349</v>
      </c>
      <c r="I72" s="18">
        <v>0.68189999999999995</v>
      </c>
      <c r="J72" s="19">
        <v>0.65690000000000004</v>
      </c>
      <c r="K72" s="18">
        <v>0.82630000000000003</v>
      </c>
      <c r="L72" s="19">
        <v>0.8054</v>
      </c>
      <c r="M72" s="32">
        <f>AVERAGE(C72:L72)</f>
        <v>0.71604999999999985</v>
      </c>
    </row>
    <row r="73" spans="1:13">
      <c r="B73" s="36"/>
    </row>
    <row r="75" spans="1:13">
      <c r="B75" s="3"/>
    </row>
    <row r="76" spans="1:13">
      <c r="B76" s="3"/>
    </row>
    <row r="77" spans="1:13">
      <c r="B77" s="3"/>
    </row>
    <row r="78" spans="1:13">
      <c r="B78" s="3"/>
    </row>
    <row r="79" spans="1:13">
      <c r="B79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B06F94-AB1E-401F-AA42-E56BDC8497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Hirofumi Tanahashi</cp:lastModifiedBy>
  <cp:revision/>
  <dcterms:created xsi:type="dcterms:W3CDTF">2025-03-25T06:05:39Z</dcterms:created>
  <dcterms:modified xsi:type="dcterms:W3CDTF">2026-06-13T08:00:17Z</dcterms:modified>
  <cp:category/>
  <cp:contentStatus/>
</cp:coreProperties>
</file>